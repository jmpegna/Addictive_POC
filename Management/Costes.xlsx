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em\Dropbox\git_projects\Addictive_POC\Management\"/>
    </mc:Choice>
  </mc:AlternateContent>
  <xr:revisionPtr revIDLastSave="0" documentId="13_ncr:1_{8631A86D-DCE8-4B30-AF8E-E87ABE4AD90A}" xr6:coauthVersionLast="47" xr6:coauthVersionMax="47" xr10:uidLastSave="{00000000-0000-0000-0000-000000000000}"/>
  <bookViews>
    <workbookView xWindow="-98" yWindow="-98" windowWidth="24496" windowHeight="15675" xr2:uid="{6F0A77F9-F3DF-40B3-B21A-6AC7A82C1C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H3" i="1" s="1"/>
  <c r="F5" i="1"/>
  <c r="H5" i="1" s="1"/>
  <c r="F4" i="1"/>
  <c r="H4" i="1" s="1"/>
  <c r="F2" i="1"/>
  <c r="H2" i="1" s="1"/>
</calcChain>
</file>

<file path=xl/sharedStrings.xml><?xml version="1.0" encoding="utf-8"?>
<sst xmlns="http://schemas.openxmlformats.org/spreadsheetml/2006/main" count="34" uniqueCount="27">
  <si>
    <t>Hosting</t>
  </si>
  <si>
    <t>Proveedor</t>
  </si>
  <si>
    <t>Coste mensual</t>
  </si>
  <si>
    <t>2 años</t>
  </si>
  <si>
    <t>Hostinger</t>
  </si>
  <si>
    <t>Email profesional</t>
  </si>
  <si>
    <t>Scraper</t>
  </si>
  <si>
    <t>URL</t>
  </si>
  <si>
    <t>https://www.hostinger.com/</t>
  </si>
  <si>
    <t>apify</t>
  </si>
  <si>
    <t>Duración</t>
  </si>
  <si>
    <t>Coste</t>
  </si>
  <si>
    <t>Impuestos</t>
  </si>
  <si>
    <t>Total</t>
  </si>
  <si>
    <t>https://apify.com/pricing/creator-plan</t>
  </si>
  <si>
    <t>6 meses</t>
  </si>
  <si>
    <t>1 mes</t>
  </si>
  <si>
    <t>Suscripción</t>
  </si>
  <si>
    <t>OpenRouter</t>
  </si>
  <si>
    <t>Observaciones</t>
  </si>
  <si>
    <t>$0.3 / compute unit</t>
  </si>
  <si>
    <t>LLMs</t>
  </si>
  <si>
    <t>https://openrouter.ai/</t>
  </si>
  <si>
    <t>Se paga por uso</t>
  </si>
  <si>
    <t>Groq</t>
  </si>
  <si>
    <t>https://groq.com/pricing</t>
  </si>
  <si>
    <t>Hosting + backup diario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</si>
</sst>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€-2]\ * #,##0.00_);_([$€-2]\ * \(#,##0.00\);_([$€-2]\ 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2" fillId="0" borderId="1" xfId="3" applyBorder="1"/>
    <xf numFmtId="164" fontId="0" fillId="0" borderId="1" xfId="0" applyNumberFormat="1" applyBorder="1"/>
    <xf numFmtId="9" fontId="0" fillId="0" borderId="1" xfId="2" applyFont="1" applyBorder="1"/>
    <xf numFmtId="44" fontId="0" fillId="0" borderId="1" xfId="1" applyFont="1" applyBorder="1"/>
    <xf numFmtId="0" fontId="0" fillId="2" borderId="1" xfId="0" applyFill="1" applyBorder="1"/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pify.com/pricing/creator-plan" TargetMode="External"/><Relationship Id="rId2" Type="http://schemas.openxmlformats.org/officeDocument/2006/relationships/hyperlink" Target="https://www.hostinger.com/" TargetMode="External"/><Relationship Id="rId1" Type="http://schemas.openxmlformats.org/officeDocument/2006/relationships/hyperlink" Target="https://www.hostinger.com/" TargetMode="External"/><Relationship Id="rId6" Type="http://schemas.openxmlformats.org/officeDocument/2006/relationships/hyperlink" Target="https://www.hostinger.com/" TargetMode="External"/><Relationship Id="rId5" Type="http://schemas.openxmlformats.org/officeDocument/2006/relationships/hyperlink" Target="https://groq.com/pricing" TargetMode="External"/><Relationship Id="rId4" Type="http://schemas.openxmlformats.org/officeDocument/2006/relationships/hyperlink" Target="https://openrouter.a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7C3B7-C76C-4642-BE33-2ABA1E290B6B}">
  <dimension ref="A1:I16"/>
  <sheetViews>
    <sheetView tabSelected="1" workbookViewId="0">
      <selection activeCell="C18" sqref="C18"/>
    </sheetView>
  </sheetViews>
  <sheetFormatPr defaultRowHeight="14.25" x14ac:dyDescent="0.45"/>
  <cols>
    <col min="1" max="1" width="19.1328125" bestFit="1" customWidth="1"/>
    <col min="2" max="2" width="13.265625" customWidth="1"/>
    <col min="3" max="3" width="30.73046875" bestFit="1" customWidth="1"/>
    <col min="4" max="6" width="16.3984375" customWidth="1"/>
    <col min="7" max="7" width="16.06640625" customWidth="1"/>
    <col min="8" max="8" width="12.3984375" bestFit="1" customWidth="1"/>
    <col min="9" max="9" width="19.3984375" customWidth="1"/>
  </cols>
  <sheetData>
    <row r="1" spans="1:9" x14ac:dyDescent="0.45">
      <c r="A1" s="6" t="s">
        <v>17</v>
      </c>
      <c r="B1" s="6" t="s">
        <v>1</v>
      </c>
      <c r="C1" s="6" t="s">
        <v>7</v>
      </c>
      <c r="D1" s="6" t="s">
        <v>11</v>
      </c>
      <c r="E1" s="6" t="s">
        <v>12</v>
      </c>
      <c r="F1" s="6" t="s">
        <v>13</v>
      </c>
      <c r="G1" s="6" t="s">
        <v>10</v>
      </c>
      <c r="H1" s="6" t="s">
        <v>2</v>
      </c>
      <c r="I1" s="6" t="s">
        <v>19</v>
      </c>
    </row>
    <row r="2" spans="1:9" x14ac:dyDescent="0.45">
      <c r="A2" s="1" t="s">
        <v>0</v>
      </c>
      <c r="B2" s="1" t="s">
        <v>4</v>
      </c>
      <c r="C2" s="2" t="s">
        <v>8</v>
      </c>
      <c r="D2" s="3">
        <v>431.78</v>
      </c>
      <c r="E2" s="4">
        <v>0.21</v>
      </c>
      <c r="F2" s="3">
        <f>D2*(1+E2)</f>
        <v>522.4538</v>
      </c>
      <c r="G2" s="1" t="s">
        <v>3</v>
      </c>
      <c r="H2" s="3">
        <f>F2/24</f>
        <v>21.768908333333332</v>
      </c>
      <c r="I2" s="1"/>
    </row>
    <row r="3" spans="1:9" x14ac:dyDescent="0.45">
      <c r="A3" s="1" t="s">
        <v>26</v>
      </c>
      <c r="B3" s="1" t="s">
        <v>4</v>
      </c>
      <c r="C3" s="2" t="s">
        <v>8</v>
      </c>
      <c r="D3" s="3">
        <v>928.37</v>
      </c>
      <c r="E3" s="4">
        <v>0.21</v>
      </c>
      <c r="F3" s="5">
        <f>D3*(1+E3)</f>
        <v>1123.3277</v>
      </c>
      <c r="G3" s="1" t="s">
        <v>3</v>
      </c>
      <c r="H3" s="3">
        <f>F3/24</f>
        <v>46.805320833333333</v>
      </c>
      <c r="I3" s="1"/>
    </row>
    <row r="4" spans="1:9" x14ac:dyDescent="0.45">
      <c r="A4" s="1" t="s">
        <v>5</v>
      </c>
      <c r="B4" s="1" t="s">
        <v>4</v>
      </c>
      <c r="C4" s="2" t="s">
        <v>8</v>
      </c>
      <c r="D4" s="3">
        <v>0.35</v>
      </c>
      <c r="E4" s="4">
        <v>0.21</v>
      </c>
      <c r="F4" s="3">
        <f>D4*(1+E4)</f>
        <v>0.42349999999999999</v>
      </c>
      <c r="G4" s="1" t="s">
        <v>16</v>
      </c>
      <c r="H4" s="3">
        <f>F4</f>
        <v>0.42349999999999999</v>
      </c>
      <c r="I4" s="1"/>
    </row>
    <row r="5" spans="1:9" x14ac:dyDescent="0.45">
      <c r="A5" s="1" t="s">
        <v>6</v>
      </c>
      <c r="B5" s="1" t="s">
        <v>9</v>
      </c>
      <c r="C5" s="2" t="s">
        <v>14</v>
      </c>
      <c r="D5" s="5">
        <v>6</v>
      </c>
      <c r="E5" s="4">
        <v>0.21</v>
      </c>
      <c r="F5" s="5">
        <f>D5*(1+E5)</f>
        <v>7.26</v>
      </c>
      <c r="G5" s="1" t="s">
        <v>15</v>
      </c>
      <c r="H5" s="5">
        <f>F5/6</f>
        <v>1.21</v>
      </c>
      <c r="I5" s="1" t="s">
        <v>20</v>
      </c>
    </row>
    <row r="6" spans="1:9" x14ac:dyDescent="0.45">
      <c r="A6" s="1" t="s">
        <v>21</v>
      </c>
      <c r="B6" s="1" t="s">
        <v>18</v>
      </c>
      <c r="C6" s="2" t="s">
        <v>22</v>
      </c>
      <c r="D6" s="1"/>
      <c r="E6" s="1"/>
      <c r="F6" s="1"/>
      <c r="G6" s="1"/>
      <c r="H6" s="1"/>
      <c r="I6" s="1" t="s">
        <v>23</v>
      </c>
    </row>
    <row r="7" spans="1:9" x14ac:dyDescent="0.45">
      <c r="A7" s="1" t="s">
        <v>21</v>
      </c>
      <c r="B7" s="1" t="s">
        <v>24</v>
      </c>
      <c r="C7" s="2" t="s">
        <v>25</v>
      </c>
      <c r="D7" s="1"/>
      <c r="E7" s="1"/>
      <c r="F7" s="1"/>
      <c r="G7" s="1"/>
      <c r="H7" s="1"/>
      <c r="I7" s="1" t="s">
        <v>23</v>
      </c>
    </row>
    <row r="8" spans="1:9" x14ac:dyDescent="0.45">
      <c r="A8" s="1"/>
      <c r="B8" s="1"/>
      <c r="C8" s="1"/>
      <c r="D8" s="1"/>
      <c r="E8" s="1"/>
      <c r="F8" s="1"/>
      <c r="G8" s="1"/>
      <c r="H8" s="1"/>
      <c r="I8" s="1"/>
    </row>
    <row r="9" spans="1:9" x14ac:dyDescent="0.45">
      <c r="A9" s="1"/>
      <c r="B9" s="1"/>
      <c r="C9" s="1"/>
      <c r="D9" s="1"/>
      <c r="E9" s="1"/>
      <c r="F9" s="1"/>
      <c r="G9" s="1"/>
      <c r="H9" s="1"/>
      <c r="I9" s="1"/>
    </row>
    <row r="10" spans="1:9" x14ac:dyDescent="0.45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45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45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45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45">
      <c r="A14" s="1"/>
      <c r="B14" s="1"/>
      <c r="C14" s="1"/>
      <c r="D14" s="1"/>
      <c r="E14" s="1"/>
      <c r="F14" s="1"/>
      <c r="G14" s="1"/>
      <c r="H14" s="1"/>
      <c r="I14" s="1"/>
    </row>
    <row r="15" spans="1:9" x14ac:dyDescent="0.45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45">
      <c r="A16" s="1"/>
      <c r="B16" s="1"/>
      <c r="C16" s="1"/>
      <c r="D16" s="1"/>
      <c r="E16" s="1"/>
      <c r="F16" s="1"/>
      <c r="G16" s="1"/>
      <c r="H16" s="1"/>
      <c r="I16" s="1"/>
    </row>
  </sheetData>
  <hyperlinks>
    <hyperlink ref="C2" r:id="rId1" xr:uid="{121FBD3D-231E-4ED6-B81C-EE6BAC7CF949}"/>
    <hyperlink ref="C4" r:id="rId2" xr:uid="{DCDCFA2D-3305-4D37-997E-B1F628287798}"/>
    <hyperlink ref="C5" r:id="rId3" xr:uid="{D7F2595C-3913-4347-ABC7-EF9ED1DF779D}"/>
    <hyperlink ref="C6" r:id="rId4" xr:uid="{AA8EA795-9403-4BF2-8699-1DE3B8DB2473}"/>
    <hyperlink ref="C7" r:id="rId5" xr:uid="{3BEA2669-2A49-4BBB-9C41-86CED72E640B}"/>
    <hyperlink ref="C3" r:id="rId6" xr:uid="{38DDBF9C-D579-443F-820F-50A766466DA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María Peña García</dc:creator>
  <cp:lastModifiedBy>José María Peña García</cp:lastModifiedBy>
  <dcterms:created xsi:type="dcterms:W3CDTF">2026-01-25T12:24:31Z</dcterms:created>
  <dcterms:modified xsi:type="dcterms:W3CDTF">2026-01-26T14:20:57Z</dcterms:modified>
</cp:coreProperties>
</file>